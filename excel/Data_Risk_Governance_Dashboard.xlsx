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6"/>
  </bookViews>
  <sheets>
    <sheet name="SQL Guide" sheetId="5" r:id="rId1"/>
    <sheet name="Dashboard" sheetId="1" r:id="rId2"/>
    <sheet name="Control Summary" sheetId="2" r:id="rId3"/>
    <sheet name="Lineage Impact" sheetId="4" r:id="rId4"/>
    <sheet name="RCA Detail" sheetId="3" r:id="rId5"/>
    <sheet name="Pareto Analysis" sheetId="6" r:id="rId6"/>
    <sheet name="Quality Matrix" sheetId="7" r:id="rId7"/>
  </sheets>
  <calcPr calcId="144525"/>
  <fileRecoveryPr repairLoad="1"/>
</workbook>
</file>

<file path=xl/sharedStrings.xml><?xml version="1.0" encoding="utf-8"?>
<sst xmlns="http://schemas.openxmlformats.org/spreadsheetml/2006/main" count="247" uniqueCount="114">
  <si>
    <t>Control ID</t>
  </si>
  <si>
    <t>Control Name</t>
  </si>
  <si>
    <t>Table</t>
  </si>
  <si>
    <t>Column</t>
  </si>
  <si>
    <t>Failed Records</t>
  </si>
  <si>
    <t>Total Records</t>
  </si>
  <si>
    <t>Failure Rate</t>
  </si>
  <si>
    <t>Risk Level</t>
  </si>
  <si>
    <t>Status</t>
  </si>
  <si>
    <t>Policy ID Null Check</t>
  </si>
  <si>
    <t>policies</t>
  </si>
  <si>
    <t>Policy_ID</t>
  </si>
  <si>
    <t>Low</t>
  </si>
  <si>
    <t>Passed</t>
  </si>
  <si>
    <t>Premium Amount Null Check</t>
  </si>
  <si>
    <t>premium_bdx</t>
  </si>
  <si>
    <t>Premium_Amount</t>
  </si>
  <si>
    <t>High</t>
  </si>
  <si>
    <t>Failed</t>
  </si>
  <si>
    <t>Claim Amount Null Check</t>
  </si>
  <si>
    <t>claims_bdx</t>
  </si>
  <si>
    <t>Claim_Amount</t>
  </si>
  <si>
    <t>Duplicate Policy ID Check</t>
  </si>
  <si>
    <t>Invalid Premium Amount Check</t>
  </si>
  <si>
    <t>Invalid Claim Amount Check</t>
  </si>
  <si>
    <t>Invalid Claim Status Check</t>
  </si>
  <si>
    <t>Claim_Status</t>
  </si>
  <si>
    <t>Premium Policy Referential Integrity Check</t>
  </si>
  <si>
    <t>Claims Policy Referential Integrity Check</t>
  </si>
  <si>
    <t>Invalid Policy Date Range Check</t>
  </si>
  <si>
    <t>Effective_Date / Expiry_Date</t>
  </si>
  <si>
    <t>Data Risk &amp; Governance Dashboard</t>
  </si>
  <si>
    <t>Total Controls</t>
  </si>
  <si>
    <t>Failed Controls</t>
  </si>
  <si>
    <t>Passed Controls</t>
  </si>
  <si>
    <t>Total Failed Records</t>
  </si>
  <si>
    <t>Root Cause</t>
  </si>
  <si>
    <t>Validity</t>
  </si>
  <si>
    <t>Completeness</t>
  </si>
  <si>
    <t>Integrity</t>
  </si>
  <si>
    <t>Source Table</t>
  </si>
  <si>
    <t>Management Findings</t>
  </si>
  <si>
    <t>1. Eight of ten data-quality controls failed, representing 15 failed-record occurrences.</t>
  </si>
  <si>
    <t>2. Validity defects are the largest root-cause category, with 7 of 15 failures (46.67%).</t>
  </si>
  <si>
    <t>3. claims_bdx is the most affected source table, with 8 of 15 failures (53.33%).</t>
  </si>
  <si>
    <t>4. Defects in Policy_ID, Premium_Amount, Claim_Amount, Claim_Status, and policy dates may affect reconciliation, reporting, and risk analysis.</t>
  </si>
  <si>
    <t>5. Priority action: investigate source-data validation and policy-link integrity before downstream reporting.</t>
  </si>
  <si>
    <t>Business Impact</t>
  </si>
  <si>
    <t>Recommended Action</t>
  </si>
  <si>
    <t>Priority</t>
  </si>
  <si>
    <t>Missing premium values can distort premium totals and reconciliation.</t>
  </si>
  <si>
    <t>Make Premium_Amount mandatory in the source process and reject incomplete records.</t>
  </si>
  <si>
    <t>Open</t>
  </si>
  <si>
    <t>Missing claim values can understate claims and loss ratios.</t>
  </si>
  <si>
    <t>Require Claim_Amount before claim records are accepted.</t>
  </si>
  <si>
    <t>Negative or invalid premiums can distort revenue and financial reporting.</t>
  </si>
  <si>
    <t>Apply positive-value validation at entry and load stages.</t>
  </si>
  <si>
    <t>Negative or invalid claims can distort loss reporting and risk analysis.</t>
  </si>
  <si>
    <t>Apply positive-value validation and exception review.</t>
  </si>
  <si>
    <t>Invalid statuses reduce the reliability of claim operational reporting.</t>
  </si>
  <si>
    <t>Restrict values to Open, Closed, or Pending.</t>
  </si>
  <si>
    <t>Unlinked premiums can fail policy-level reconciliation.</t>
  </si>
  <si>
    <t>Validate Policy_ID against policy master before loading BDX records.</t>
  </si>
  <si>
    <t>Unlinked claims can fail policy-level reporting and analysis.</t>
  </si>
  <si>
    <t>Validate Policy_ID against policy master before loading claims records.</t>
  </si>
  <si>
    <t>Invalid coverage dates can affect policy validity and downstream calculations.</t>
  </si>
  <si>
    <t>Reject records where Expiry_Date is earlier than Effective_Date.</t>
  </si>
  <si>
    <t>Source Column</t>
  </si>
  <si>
    <t>Downstream Table</t>
  </si>
  <si>
    <t>Downstream Column</t>
  </si>
  <si>
    <t>Dependency Type</t>
  </si>
  <si>
    <t>Criticality</t>
  </si>
  <si>
    <t>Impact Score</t>
  </si>
  <si>
    <t>Direct Dependency</t>
  </si>
  <si>
    <t>Critical</t>
  </si>
  <si>
    <t>Program_ID</t>
  </si>
  <si>
    <t>Treaty_ID</t>
  </si>
  <si>
    <t>Premium</t>
  </si>
  <si>
    <t>Financial Dependency</t>
  </si>
  <si>
    <t>Analytical Dependency</t>
  </si>
  <si>
    <t>SQL Stage</t>
  </si>
  <si>
    <t>Purpose</t>
  </si>
  <si>
    <t>Verified Output</t>
  </si>
  <si>
    <t>1. Source Data</t>
  </si>
  <si>
    <t>Load policies, premium BDX, and claims BDX data</t>
  </si>
  <si>
    <t>10,000 policies; 20,000 premiums; 10,000 claims</t>
  </si>
  <si>
    <t>2. Data Dictionary</t>
  </si>
  <si>
    <t>Document data elements, definitions, and criticality</t>
  </si>
  <si>
    <t>22 data elements documented</t>
  </si>
  <si>
    <t>3. Data Lineage</t>
  </si>
  <si>
    <t>Map source-to-downstream dependencies</t>
  </si>
  <si>
    <t>9 lineage relationships identified</t>
  </si>
  <si>
    <t>4. Data Quality Controls</t>
  </si>
  <si>
    <t>Run completeness, validity, and integrity checks</t>
  </si>
  <si>
    <t>10 controls; 8 failed; 15 failed-record occurrences</t>
  </si>
  <si>
    <t>5. Root Cause Analysis</t>
  </si>
  <si>
    <t>Classify failure types and business impact</t>
  </si>
  <si>
    <t>Validity 7; Completeness 4; Integrity 4</t>
  </si>
  <si>
    <t>6. Remediation</t>
  </si>
  <si>
    <t>Log issues, owners/actions, and status</t>
  </si>
  <si>
    <t>10 remediation issues created</t>
  </si>
  <si>
    <t>7. Risk Scoring</t>
  </si>
  <si>
    <t>Prioritize failures by criticality and failure rate</t>
  </si>
  <si>
    <t>10 risk-score records created</t>
  </si>
  <si>
    <t>8. Business Analysis</t>
  </si>
  <si>
    <t>Assess premium, claims, reconciliation, and loss ratios</t>
  </si>
  <si>
    <t>Management-ready reporting outputs available</t>
  </si>
  <si>
    <t>Column1</t>
  </si>
  <si>
    <t>Column2</t>
  </si>
  <si>
    <t>Column3</t>
  </si>
  <si>
    <t>Cumulative Failure Percent</t>
  </si>
  <si>
    <t xml:space="preserve"> Premium BDX has balanced completeness, validity, and integrity issues.</t>
  </si>
  <si>
    <t>Policies have limited exposure, restricted to a date-validity defect.</t>
  </si>
  <si>
    <t xml:space="preserve">Claims BDX has the highest exposure, driven primarily by validity failures.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</si>
</sst>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0" fontId="0" fillId="0" borderId="1" xfId="0" applyBorder="1" applyAlignment="1"/>
    <xf numFmtId="0" fontId="0" fillId="0" borderId="0" xfId="0" applyAlignment="1"/>
    <xf numFmtId="0" fontId="0" fillId="0" borderId="2" xfId="0" applyBorder="1" applyAlignment="1"/>
    <xf numFmtId="0" fontId="2" fillId="2" borderId="1" xfId="0" applyFont="1" applyFill="1" applyBorder="1" applyAlignment="1"/>
    <xf numFmtId="0" fontId="1" fillId="4" borderId="3" xfId="0" applyFont="1" applyFill="1" applyBorder="1" applyAlignment="1"/>
  </cellXfs>
  <cellStyles count="1">
    <cellStyle name="Normal" xfId="0" builtinId="0"/>
  </cellStyles>
  <dxfs count="8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Failed Records by Root Cause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0056474576198092"/>
          <c:y val="3.611740716830996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Failed Records</c:v>
                </c:pt>
              </c:strCache>
            </c:strRef>
          </c:tx>
          <c:invertIfNegative val="0"/>
          <c:cat>
            <c:strRef>
              <c:f>Dashboard!$A$8:$A$10</c:f>
              <c:strCache>
                <c:ptCount val="3"/>
                <c:pt idx="0">
                  <c:v>Validity</c:v>
                </c:pt>
                <c:pt idx="1">
                  <c:v>Completeness</c:v>
                </c:pt>
                <c:pt idx="2">
                  <c:v>Integrity</c:v>
                </c:pt>
              </c:strCache>
            </c:strRef>
          </c:cat>
          <c:val>
            <c:numRef>
              <c:f>Dashboard!$B$8:$B$10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12896"/>
        <c:axId val="170114432"/>
      </c:barChart>
      <c:catAx>
        <c:axId val="170112896"/>
        <c:scaling>
          <c:orientation val="minMax"/>
        </c:scaling>
        <c:delete val="0"/>
        <c:axPos val="b"/>
        <c:majorTickMark val="out"/>
        <c:minorTickMark val="none"/>
        <c:tickLblPos val="nextTo"/>
        <c:crossAx val="170114432"/>
        <c:crosses val="autoZero"/>
        <c:auto val="1"/>
        <c:lblAlgn val="ctr"/>
        <c:lblOffset val="100"/>
        <c:noMultiLvlLbl val="0"/>
      </c:catAx>
      <c:valAx>
        <c:axId val="170114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112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Failed Records by Source Table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7.6670902697105817E-2"/>
          <c:y val="6.811174931516672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Dashboard!$E$7</c:f>
              <c:strCache>
                <c:ptCount val="1"/>
                <c:pt idx="0">
                  <c:v>Failed Records</c:v>
                </c:pt>
              </c:strCache>
            </c:strRef>
          </c:tx>
          <c:invertIfNegative val="0"/>
          <c:cat>
            <c:strRef>
              <c:f>Dashboard!$D$8:$D$10</c:f>
              <c:strCache>
                <c:ptCount val="3"/>
                <c:pt idx="0">
                  <c:v>policies</c:v>
                </c:pt>
                <c:pt idx="1">
                  <c:v>premium_bdx</c:v>
                </c:pt>
                <c:pt idx="2">
                  <c:v>claims_bdx</c:v>
                </c:pt>
              </c:strCache>
            </c:strRef>
          </c:cat>
          <c:val>
            <c:numRef>
              <c:f>Dashboard!$E$8:$E$10</c:f>
              <c:numCache>
                <c:formatCode>General</c:formatCode>
                <c:ptCount val="3"/>
                <c:pt idx="0">
                  <c:v>1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438400"/>
        <c:axId val="166439936"/>
      </c:barChart>
      <c:catAx>
        <c:axId val="166438400"/>
        <c:scaling>
          <c:orientation val="minMax"/>
        </c:scaling>
        <c:delete val="0"/>
        <c:axPos val="b"/>
        <c:majorTickMark val="out"/>
        <c:minorTickMark val="none"/>
        <c:tickLblPos val="nextTo"/>
        <c:crossAx val="166439936"/>
        <c:crosses val="autoZero"/>
        <c:auto val="1"/>
        <c:lblAlgn val="ctr"/>
        <c:lblOffset val="100"/>
        <c:noMultiLvlLbl val="0"/>
      </c:catAx>
      <c:valAx>
        <c:axId val="166439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438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 Pareto Analysis of Data-Quality Failures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Analysis'!$B$1</c:f>
              <c:strCache>
                <c:ptCount val="1"/>
                <c:pt idx="0">
                  <c:v>Failed Records</c:v>
                </c:pt>
              </c:strCache>
            </c:strRef>
          </c:tx>
          <c:invertIfNegative val="0"/>
          <c:cat>
            <c:strRef>
              <c:f>'Pareto Analysis'!$A$2:$A$9</c:f>
              <c:strCache>
                <c:ptCount val="8"/>
                <c:pt idx="0">
                  <c:v>Claim Amount Null Check</c:v>
                </c:pt>
                <c:pt idx="1">
                  <c:v>Claims Policy Referential Integrity Check</c:v>
                </c:pt>
                <c:pt idx="2">
                  <c:v>Invalid Claim Amount Check</c:v>
                </c:pt>
                <c:pt idx="3">
                  <c:v>Invalid Claim Status Check</c:v>
                </c:pt>
                <c:pt idx="4">
                  <c:v>Invalid Premium Amount Check</c:v>
                </c:pt>
                <c:pt idx="5">
                  <c:v>Premium Amount Null Check</c:v>
                </c:pt>
                <c:pt idx="6">
                  <c:v>Premium Policy Referential Integrity Check</c:v>
                </c:pt>
                <c:pt idx="7">
                  <c:v>Invalid Policy Date Range Check</c:v>
                </c:pt>
              </c:strCache>
            </c:strRef>
          </c:cat>
          <c:val>
            <c:numRef>
              <c:f>'Pareto Analysis'!$B$2:$B$9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777792"/>
        <c:axId val="169783680"/>
      </c:barChart>
      <c:lineChart>
        <c:grouping val="standard"/>
        <c:varyColors val="0"/>
        <c:ser>
          <c:idx val="1"/>
          <c:order val="1"/>
          <c:tx>
            <c:strRef>
              <c:f>'Pareto Analysis'!$C$1</c:f>
              <c:strCache>
                <c:ptCount val="1"/>
                <c:pt idx="0">
                  <c:v>Cumulative Failure Percent</c:v>
                </c:pt>
              </c:strCache>
            </c:strRef>
          </c:tx>
          <c:marker>
            <c:symbol val="none"/>
          </c:marker>
          <c:cat>
            <c:strRef>
              <c:f>'Pareto Analysis'!$A$2:$A$9</c:f>
              <c:strCache>
                <c:ptCount val="8"/>
                <c:pt idx="0">
                  <c:v>Claim Amount Null Check</c:v>
                </c:pt>
                <c:pt idx="1">
                  <c:v>Claims Policy Referential Integrity Check</c:v>
                </c:pt>
                <c:pt idx="2">
                  <c:v>Invalid Claim Amount Check</c:v>
                </c:pt>
                <c:pt idx="3">
                  <c:v>Invalid Claim Status Check</c:v>
                </c:pt>
                <c:pt idx="4">
                  <c:v>Invalid Premium Amount Check</c:v>
                </c:pt>
                <c:pt idx="5">
                  <c:v>Premium Amount Null Check</c:v>
                </c:pt>
                <c:pt idx="6">
                  <c:v>Premium Policy Referential Integrity Check</c:v>
                </c:pt>
                <c:pt idx="7">
                  <c:v>Invalid Policy Date Range Check</c:v>
                </c:pt>
              </c:strCache>
            </c:strRef>
          </c:cat>
          <c:val>
            <c:numRef>
              <c:f>'Pareto Analysis'!$C$2:$C$9</c:f>
              <c:numCache>
                <c:formatCode>0.00%</c:formatCode>
                <c:ptCount val="8"/>
                <c:pt idx="0">
                  <c:v>0.1333</c:v>
                </c:pt>
                <c:pt idx="1">
                  <c:v>0.26669999999999999</c:v>
                </c:pt>
                <c:pt idx="2">
                  <c:v>0.4</c:v>
                </c:pt>
                <c:pt idx="3">
                  <c:v>0.5333</c:v>
                </c:pt>
                <c:pt idx="4">
                  <c:v>0.66669999999999996</c:v>
                </c:pt>
                <c:pt idx="5">
                  <c:v>0.8</c:v>
                </c:pt>
                <c:pt idx="6">
                  <c:v>0.93330000000000002</c:v>
                </c:pt>
                <c:pt idx="7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43200"/>
        <c:axId val="265684864"/>
      </c:lineChart>
      <c:catAx>
        <c:axId val="169777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69783680"/>
        <c:crosses val="autoZero"/>
        <c:auto val="1"/>
        <c:lblAlgn val="ctr"/>
        <c:lblOffset val="100"/>
        <c:noMultiLvlLbl val="0"/>
      </c:catAx>
      <c:valAx>
        <c:axId val="169783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777792"/>
        <c:crosses val="autoZero"/>
        <c:crossBetween val="between"/>
      </c:valAx>
      <c:valAx>
        <c:axId val="265684864"/>
        <c:scaling>
          <c:orientation val="minMax"/>
          <c:max val="1"/>
        </c:scaling>
        <c:delete val="0"/>
        <c:axPos val="r"/>
        <c:numFmt formatCode="0.00%" sourceLinked="1"/>
        <c:majorTickMark val="out"/>
        <c:minorTickMark val="none"/>
        <c:tickLblPos val="nextTo"/>
        <c:crossAx val="164643200"/>
        <c:crosses val="max"/>
        <c:crossBetween val="between"/>
      </c:valAx>
      <c:catAx>
        <c:axId val="164643200"/>
        <c:scaling>
          <c:orientation val="minMax"/>
        </c:scaling>
        <c:delete val="1"/>
        <c:axPos val="b"/>
        <c:majorTickMark val="out"/>
        <c:minorTickMark val="none"/>
        <c:tickLblPos val="nextTo"/>
        <c:crossAx val="265684864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Data-Quality Failures by Table and Dimension</a:t>
            </a:r>
          </a:p>
        </c:rich>
      </c:tx>
      <c:layout>
        <c:manualLayout>
          <c:xMode val="edge"/>
          <c:yMode val="edge"/>
          <c:x val="0.13504155730533685"/>
          <c:y val="3.2407407407407406E-2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'Quality Matrix'!$B$1</c:f>
              <c:strCache>
                <c:ptCount val="1"/>
                <c:pt idx="0">
                  <c:v>Completeness</c:v>
                </c:pt>
              </c:strCache>
            </c:strRef>
          </c:tx>
          <c:invertIfNegative val="0"/>
          <c:cat>
            <c:strRef>
              <c:f>'Quality Matrix'!$A$2:$A$4</c:f>
              <c:strCache>
                <c:ptCount val="3"/>
                <c:pt idx="0">
                  <c:v>claims_bdx</c:v>
                </c:pt>
                <c:pt idx="1">
                  <c:v>premium_bdx</c:v>
                </c:pt>
                <c:pt idx="2">
                  <c:v>policies</c:v>
                </c:pt>
              </c:strCache>
            </c:strRef>
          </c:cat>
          <c:val>
            <c:numRef>
              <c:f>'Quality Matrix'!$B$2:$B$4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'Quality Matrix'!$C$1</c:f>
              <c:strCache>
                <c:ptCount val="1"/>
                <c:pt idx="0">
                  <c:v>Validity</c:v>
                </c:pt>
              </c:strCache>
            </c:strRef>
          </c:tx>
          <c:invertIfNegative val="0"/>
          <c:cat>
            <c:strRef>
              <c:f>'Quality Matrix'!$A$2:$A$4</c:f>
              <c:strCache>
                <c:ptCount val="3"/>
                <c:pt idx="0">
                  <c:v>claims_bdx</c:v>
                </c:pt>
                <c:pt idx="1">
                  <c:v>premium_bdx</c:v>
                </c:pt>
                <c:pt idx="2">
                  <c:v>policies</c:v>
                </c:pt>
              </c:strCache>
            </c:strRef>
          </c:cat>
          <c:val>
            <c:numRef>
              <c:f>'Quality Matrix'!$C$2:$C$4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ser>
          <c:idx val="2"/>
          <c:order val="2"/>
          <c:tx>
            <c:strRef>
              <c:f>'Quality Matrix'!$D$1</c:f>
              <c:strCache>
                <c:ptCount val="1"/>
                <c:pt idx="0">
                  <c:v>Integrity</c:v>
                </c:pt>
              </c:strCache>
            </c:strRef>
          </c:tx>
          <c:invertIfNegative val="0"/>
          <c:cat>
            <c:strRef>
              <c:f>'Quality Matrix'!$A$2:$A$4</c:f>
              <c:strCache>
                <c:ptCount val="3"/>
                <c:pt idx="0">
                  <c:v>claims_bdx</c:v>
                </c:pt>
                <c:pt idx="1">
                  <c:v>premium_bdx</c:v>
                </c:pt>
                <c:pt idx="2">
                  <c:v>policies</c:v>
                </c:pt>
              </c:strCache>
            </c:strRef>
          </c:cat>
          <c:val>
            <c:numRef>
              <c:f>'Quality Matrix'!$D$2:$D$4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277760"/>
        <c:axId val="172279296"/>
      </c:barChart>
      <c:catAx>
        <c:axId val="172277760"/>
        <c:scaling>
          <c:orientation val="minMax"/>
        </c:scaling>
        <c:delete val="0"/>
        <c:axPos val="b"/>
        <c:majorTickMark val="out"/>
        <c:minorTickMark val="none"/>
        <c:tickLblPos val="nextTo"/>
        <c:crossAx val="172279296"/>
        <c:crosses val="autoZero"/>
        <c:auto val="1"/>
        <c:lblAlgn val="ctr"/>
        <c:lblOffset val="100"/>
        <c:noMultiLvlLbl val="0"/>
      </c:catAx>
      <c:valAx>
        <c:axId val="17227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277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</xdr:colOff>
      <xdr:row>11</xdr:row>
      <xdr:rowOff>171450</xdr:rowOff>
    </xdr:from>
    <xdr:to>
      <xdr:col>3</xdr:col>
      <xdr:colOff>133350</xdr:colOff>
      <xdr:row>23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757237</xdr:colOff>
      <xdr:row>11</xdr:row>
      <xdr:rowOff>161925</xdr:rowOff>
    </xdr:from>
    <xdr:to>
      <xdr:col>6</xdr:col>
      <xdr:colOff>2305050</xdr:colOff>
      <xdr:row>31</xdr:row>
      <xdr:rowOff>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1</xdr:row>
      <xdr:rowOff>0</xdr:rowOff>
    </xdr:from>
    <xdr:to>
      <xdr:col>12</xdr:col>
      <xdr:colOff>266699</xdr:colOff>
      <xdr:row>17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14288</xdr:colOff>
      <xdr:row>5</xdr:row>
      <xdr:rowOff>171450</xdr:rowOff>
    </xdr:from>
    <xdr:to>
      <xdr:col>5</xdr:col>
      <xdr:colOff>609601</xdr:colOff>
      <xdr:row>19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4" displayName="Table4" ref="A1:C10" totalsRowShown="0">
  <autoFilter ref="A1:C10"/>
  <tableColumns count="3">
    <tableColumn id="1" name="Column1"/>
    <tableColumn id="2" name="Column2"/>
    <tableColumn id="3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ControlSummary" displayName="ControlSummary" ref="A1:I11" totalsRowShown="0">
  <autoFilter ref="A1:I11"/>
  <tableColumns count="9">
    <tableColumn id="1" name="Control ID"/>
    <tableColumn id="2" name="Control Name"/>
    <tableColumn id="3" name="Table"/>
    <tableColumn id="4" name="Column"/>
    <tableColumn id="5" name="Failed Records"/>
    <tableColumn id="6" name="Total Records"/>
    <tableColumn id="7" name="Failure Rate" dataDxfId="7"/>
    <tableColumn id="8" name="Risk Level"/>
    <tableColumn id="9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0" totalsRowShown="0">
  <autoFilter ref="A1:G10"/>
  <tableColumns count="7">
    <tableColumn id="1" name="Source Table"/>
    <tableColumn id="2" name="Source Column"/>
    <tableColumn id="3" name="Downstream Table"/>
    <tableColumn id="4" name="Downstream Column"/>
    <tableColumn id="5" name="Dependency Type"/>
    <tableColumn id="6" name="Criticality"/>
    <tableColumn id="7" name="Impact 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G9" totalsRowShown="0">
  <autoFilter ref="A1:G9"/>
  <tableColumns count="7">
    <tableColumn id="1" name="Control Name"/>
    <tableColumn id="2" name="Root Cause"/>
    <tableColumn id="3" name="Failed Records"/>
    <tableColumn id="4" name="Business Impact"/>
    <tableColumn id="5" name="Recommended Action"/>
    <tableColumn id="6" name="Priority"/>
    <tableColumn id="7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9" totalsRowShown="0">
  <autoFilter ref="A1:C9"/>
  <tableColumns count="3">
    <tableColumn id="1" name="Control Name"/>
    <tableColumn id="2" name="Failed Records"/>
    <tableColumn id="3" name="Cumulative Failure Percent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:D4" totalsRowShown="0" headerRowDxfId="0" dataDxfId="1">
  <autoFilter ref="A1:D4"/>
  <tableColumns count="4">
    <tableColumn id="1" name="Source Table" dataDxfId="5"/>
    <tableColumn id="2" name="Completeness" dataDxfId="4"/>
    <tableColumn id="3" name="Validity" dataDxfId="3"/>
    <tableColumn id="4" name="Integr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H12" sqref="H12"/>
    </sheetView>
  </sheetViews>
  <sheetFormatPr defaultRowHeight="15" x14ac:dyDescent="0.25"/>
  <cols>
    <col min="1" max="1" width="22.140625" bestFit="1" customWidth="1"/>
    <col min="2" max="2" width="50" bestFit="1" customWidth="1"/>
    <col min="3" max="3" width="45.28515625" bestFit="1" customWidth="1"/>
  </cols>
  <sheetData>
    <row r="1" spans="1:3" x14ac:dyDescent="0.25">
      <c r="A1" t="s">
        <v>107</v>
      </c>
      <c r="B1" t="s">
        <v>108</v>
      </c>
      <c r="C1" t="s">
        <v>109</v>
      </c>
    </row>
    <row r="2" spans="1:3" x14ac:dyDescent="0.25">
      <c r="A2" t="s">
        <v>80</v>
      </c>
      <c r="B2" t="s">
        <v>81</v>
      </c>
      <c r="C2" t="s">
        <v>82</v>
      </c>
    </row>
    <row r="3" spans="1:3" x14ac:dyDescent="0.25">
      <c r="A3" t="s">
        <v>83</v>
      </c>
      <c r="B3" t="s">
        <v>84</v>
      </c>
      <c r="C3" t="s">
        <v>85</v>
      </c>
    </row>
    <row r="4" spans="1:3" x14ac:dyDescent="0.25">
      <c r="A4" t="s">
        <v>86</v>
      </c>
      <c r="B4" t="s">
        <v>87</v>
      </c>
      <c r="C4" t="s">
        <v>88</v>
      </c>
    </row>
    <row r="5" spans="1:3" x14ac:dyDescent="0.25">
      <c r="A5" t="s">
        <v>89</v>
      </c>
      <c r="B5" t="s">
        <v>90</v>
      </c>
      <c r="C5" t="s">
        <v>91</v>
      </c>
    </row>
    <row r="6" spans="1:3" x14ac:dyDescent="0.25">
      <c r="A6" t="s">
        <v>92</v>
      </c>
      <c r="B6" t="s">
        <v>93</v>
      </c>
      <c r="C6" t="s">
        <v>94</v>
      </c>
    </row>
    <row r="7" spans="1:3" x14ac:dyDescent="0.25">
      <c r="A7" t="s">
        <v>95</v>
      </c>
      <c r="B7" t="s">
        <v>96</v>
      </c>
      <c r="C7" t="s">
        <v>97</v>
      </c>
    </row>
    <row r="8" spans="1:3" x14ac:dyDescent="0.25">
      <c r="A8" t="s">
        <v>98</v>
      </c>
      <c r="B8" t="s">
        <v>99</v>
      </c>
      <c r="C8" t="s">
        <v>100</v>
      </c>
    </row>
    <row r="9" spans="1:3" x14ac:dyDescent="0.25">
      <c r="A9" t="s">
        <v>101</v>
      </c>
      <c r="B9" t="s">
        <v>102</v>
      </c>
      <c r="C9" t="s">
        <v>103</v>
      </c>
    </row>
    <row r="10" spans="1:3" x14ac:dyDescent="0.25">
      <c r="A10" t="s">
        <v>104</v>
      </c>
      <c r="B10" t="s">
        <v>105</v>
      </c>
      <c r="C10" t="s">
        <v>106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opLeftCell="A4" workbookViewId="0">
      <selection activeCell="G18" sqref="G18"/>
    </sheetView>
  </sheetViews>
  <sheetFormatPr defaultRowHeight="15" x14ac:dyDescent="0.25"/>
  <cols>
    <col min="1" max="1" width="27.28515625" customWidth="1"/>
    <col min="2" max="3" width="18" customWidth="1"/>
    <col min="4" max="4" width="19.140625" customWidth="1"/>
    <col min="5" max="5" width="14.140625" customWidth="1"/>
    <col min="7" max="7" width="101" customWidth="1"/>
  </cols>
  <sheetData>
    <row r="1" spans="1:7" x14ac:dyDescent="0.25">
      <c r="A1" s="3" t="s">
        <v>31</v>
      </c>
      <c r="B1" s="3"/>
      <c r="C1" s="3"/>
      <c r="D1" s="3"/>
    </row>
    <row r="3" spans="1:7" x14ac:dyDescent="0.25">
      <c r="A3" s="2" t="s">
        <v>32</v>
      </c>
      <c r="B3" s="2" t="s">
        <v>33</v>
      </c>
      <c r="C3" s="2" t="s">
        <v>34</v>
      </c>
      <c r="D3" s="2" t="s">
        <v>35</v>
      </c>
      <c r="G3" s="12" t="s">
        <v>41</v>
      </c>
    </row>
    <row r="4" spans="1:7" x14ac:dyDescent="0.25">
      <c r="A4" s="8">
        <v>10</v>
      </c>
      <c r="B4" s="8">
        <v>8</v>
      </c>
      <c r="C4" s="8">
        <v>2</v>
      </c>
      <c r="D4" s="8">
        <v>15</v>
      </c>
      <c r="E4" s="9"/>
      <c r="F4" s="9"/>
      <c r="G4" s="10" t="s">
        <v>42</v>
      </c>
    </row>
    <row r="5" spans="1:7" x14ac:dyDescent="0.25">
      <c r="A5" s="9"/>
      <c r="B5" s="9"/>
      <c r="C5" s="9"/>
      <c r="D5" s="9"/>
      <c r="E5" s="9"/>
      <c r="F5" s="9"/>
      <c r="G5" s="8" t="s">
        <v>43</v>
      </c>
    </row>
    <row r="6" spans="1:7" x14ac:dyDescent="0.25">
      <c r="A6" s="9"/>
      <c r="B6" s="9"/>
      <c r="C6" s="9"/>
      <c r="D6" s="9"/>
      <c r="E6" s="9"/>
      <c r="F6" s="9"/>
      <c r="G6" s="8" t="s">
        <v>44</v>
      </c>
    </row>
    <row r="7" spans="1:7" ht="30" x14ac:dyDescent="0.25">
      <c r="A7" s="11" t="s">
        <v>36</v>
      </c>
      <c r="B7" s="11" t="s">
        <v>4</v>
      </c>
      <c r="C7" s="9"/>
      <c r="D7" s="11" t="s">
        <v>40</v>
      </c>
      <c r="E7" s="11" t="s">
        <v>4</v>
      </c>
      <c r="F7" s="9"/>
      <c r="G7" s="4" t="s">
        <v>45</v>
      </c>
    </row>
    <row r="8" spans="1:7" x14ac:dyDescent="0.25">
      <c r="A8" s="8" t="s">
        <v>37</v>
      </c>
      <c r="B8" s="8">
        <v>7</v>
      </c>
      <c r="C8" s="9"/>
      <c r="D8" s="8" t="s">
        <v>10</v>
      </c>
      <c r="E8" s="8">
        <v>1</v>
      </c>
      <c r="F8" s="9"/>
      <c r="G8" s="4" t="s">
        <v>46</v>
      </c>
    </row>
    <row r="9" spans="1:7" x14ac:dyDescent="0.25">
      <c r="A9" s="8" t="s">
        <v>38</v>
      </c>
      <c r="B9" s="8">
        <v>4</v>
      </c>
      <c r="C9" s="9"/>
      <c r="D9" s="8" t="s">
        <v>15</v>
      </c>
      <c r="E9" s="8">
        <v>6</v>
      </c>
      <c r="F9" s="9"/>
      <c r="G9" s="9"/>
    </row>
    <row r="10" spans="1:7" x14ac:dyDescent="0.25">
      <c r="A10" s="8" t="s">
        <v>39</v>
      </c>
      <c r="B10" s="8">
        <v>4</v>
      </c>
      <c r="C10" s="9"/>
      <c r="D10" s="8" t="s">
        <v>20</v>
      </c>
      <c r="E10" s="8">
        <v>8</v>
      </c>
      <c r="F10" s="9"/>
      <c r="G10" s="9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A17" sqref="A17"/>
    </sheetView>
  </sheetViews>
  <sheetFormatPr defaultRowHeight="15" x14ac:dyDescent="0.25"/>
  <cols>
    <col min="1" max="1" width="12" customWidth="1"/>
    <col min="2" max="2" width="40" bestFit="1" customWidth="1"/>
    <col min="3" max="3" width="13.5703125" bestFit="1" customWidth="1"/>
    <col min="4" max="4" width="26.85546875" bestFit="1" customWidth="1"/>
    <col min="5" max="5" width="16" customWidth="1"/>
    <col min="6" max="6" width="15" customWidth="1"/>
    <col min="7" max="7" width="13.7109375" customWidth="1"/>
    <col min="8" max="8" width="11.85546875" customWidth="1"/>
    <col min="9" max="9" width="8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>
        <v>0</v>
      </c>
      <c r="F2">
        <v>10000</v>
      </c>
      <c r="G2" s="1">
        <v>0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>
        <v>2</v>
      </c>
      <c r="F3">
        <v>20000</v>
      </c>
      <c r="G3" s="1">
        <v>1E-4</v>
      </c>
      <c r="H3" t="s">
        <v>17</v>
      </c>
      <c r="I3" t="s">
        <v>18</v>
      </c>
    </row>
    <row r="4" spans="1:9" x14ac:dyDescent="0.25">
      <c r="A4">
        <v>3</v>
      </c>
      <c r="B4" t="s">
        <v>19</v>
      </c>
      <c r="C4" t="s">
        <v>20</v>
      </c>
      <c r="D4" t="s">
        <v>21</v>
      </c>
      <c r="E4">
        <v>2</v>
      </c>
      <c r="F4">
        <v>10000</v>
      </c>
      <c r="G4" s="1">
        <v>2.0000000000000001E-4</v>
      </c>
      <c r="H4" t="s">
        <v>17</v>
      </c>
      <c r="I4" t="s">
        <v>18</v>
      </c>
    </row>
    <row r="5" spans="1:9" x14ac:dyDescent="0.25">
      <c r="A5">
        <v>4</v>
      </c>
      <c r="B5" t="s">
        <v>22</v>
      </c>
      <c r="C5" t="s">
        <v>10</v>
      </c>
      <c r="D5" t="s">
        <v>11</v>
      </c>
      <c r="E5">
        <v>0</v>
      </c>
      <c r="F5">
        <v>10000</v>
      </c>
      <c r="G5" s="1">
        <v>0</v>
      </c>
      <c r="H5" t="s">
        <v>12</v>
      </c>
      <c r="I5" t="s">
        <v>13</v>
      </c>
    </row>
    <row r="6" spans="1:9" x14ac:dyDescent="0.25">
      <c r="A6">
        <v>5</v>
      </c>
      <c r="B6" t="s">
        <v>23</v>
      </c>
      <c r="C6" t="s">
        <v>15</v>
      </c>
      <c r="D6" t="s">
        <v>16</v>
      </c>
      <c r="E6">
        <v>2</v>
      </c>
      <c r="F6">
        <v>20000</v>
      </c>
      <c r="G6" s="1">
        <v>1E-4</v>
      </c>
      <c r="H6" t="s">
        <v>17</v>
      </c>
      <c r="I6" t="s">
        <v>18</v>
      </c>
    </row>
    <row r="7" spans="1:9" x14ac:dyDescent="0.25">
      <c r="A7">
        <v>6</v>
      </c>
      <c r="B7" t="s">
        <v>24</v>
      </c>
      <c r="C7" t="s">
        <v>20</v>
      </c>
      <c r="D7" t="s">
        <v>21</v>
      </c>
      <c r="E7">
        <v>2</v>
      </c>
      <c r="F7">
        <v>10000</v>
      </c>
      <c r="G7" s="1">
        <v>2.0000000000000001E-4</v>
      </c>
      <c r="H7" t="s">
        <v>17</v>
      </c>
      <c r="I7" t="s">
        <v>18</v>
      </c>
    </row>
    <row r="8" spans="1:9" x14ac:dyDescent="0.25">
      <c r="A8">
        <v>7</v>
      </c>
      <c r="B8" t="s">
        <v>25</v>
      </c>
      <c r="C8" t="s">
        <v>20</v>
      </c>
      <c r="D8" t="s">
        <v>26</v>
      </c>
      <c r="E8">
        <v>2</v>
      </c>
      <c r="F8">
        <v>10000</v>
      </c>
      <c r="G8" s="1">
        <v>2.0000000000000001E-4</v>
      </c>
      <c r="H8" t="s">
        <v>17</v>
      </c>
      <c r="I8" t="s">
        <v>18</v>
      </c>
    </row>
    <row r="9" spans="1:9" x14ac:dyDescent="0.25">
      <c r="A9">
        <v>8</v>
      </c>
      <c r="B9" t="s">
        <v>27</v>
      </c>
      <c r="C9" t="s">
        <v>15</v>
      </c>
      <c r="D9" t="s">
        <v>11</v>
      </c>
      <c r="E9">
        <v>2</v>
      </c>
      <c r="F9">
        <v>20000</v>
      </c>
      <c r="G9" s="1">
        <v>1E-4</v>
      </c>
      <c r="H9" t="s">
        <v>17</v>
      </c>
      <c r="I9" t="s">
        <v>18</v>
      </c>
    </row>
    <row r="10" spans="1:9" x14ac:dyDescent="0.25">
      <c r="A10">
        <v>9</v>
      </c>
      <c r="B10" t="s">
        <v>28</v>
      </c>
      <c r="C10" t="s">
        <v>20</v>
      </c>
      <c r="D10" t="s">
        <v>11</v>
      </c>
      <c r="E10">
        <v>2</v>
      </c>
      <c r="F10">
        <v>10000</v>
      </c>
      <c r="G10" s="1">
        <v>2.0000000000000001E-4</v>
      </c>
      <c r="H10" t="s">
        <v>17</v>
      </c>
      <c r="I10" t="s">
        <v>18</v>
      </c>
    </row>
    <row r="11" spans="1:9" x14ac:dyDescent="0.25">
      <c r="A11">
        <v>16</v>
      </c>
      <c r="B11" t="s">
        <v>29</v>
      </c>
      <c r="C11" t="s">
        <v>10</v>
      </c>
      <c r="D11" t="s">
        <v>30</v>
      </c>
      <c r="E11">
        <v>1</v>
      </c>
      <c r="F11">
        <v>10000</v>
      </c>
      <c r="G11" s="1">
        <v>1E-4</v>
      </c>
      <c r="H11" t="s">
        <v>17</v>
      </c>
      <c r="I11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G21" sqref="G21"/>
    </sheetView>
  </sheetViews>
  <sheetFormatPr defaultRowHeight="15" x14ac:dyDescent="0.25"/>
  <cols>
    <col min="1" max="1" width="14.42578125" customWidth="1"/>
    <col min="2" max="2" width="16.42578125" customWidth="1"/>
    <col min="3" max="3" width="19.7109375" customWidth="1"/>
    <col min="4" max="4" width="21.7109375" customWidth="1"/>
    <col min="5" max="5" width="19" customWidth="1"/>
    <col min="6" max="6" width="11.5703125" customWidth="1"/>
    <col min="7" max="7" width="14.42578125" customWidth="1"/>
  </cols>
  <sheetData>
    <row r="1" spans="1:7" x14ac:dyDescent="0.25">
      <c r="A1" t="s">
        <v>40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</row>
    <row r="2" spans="1:7" x14ac:dyDescent="0.25">
      <c r="A2" t="s">
        <v>10</v>
      </c>
      <c r="B2" t="s">
        <v>11</v>
      </c>
      <c r="C2" t="s">
        <v>15</v>
      </c>
      <c r="D2" t="s">
        <v>11</v>
      </c>
      <c r="E2" t="s">
        <v>73</v>
      </c>
      <c r="F2" t="s">
        <v>74</v>
      </c>
      <c r="G2">
        <v>3</v>
      </c>
    </row>
    <row r="3" spans="1:7" x14ac:dyDescent="0.25">
      <c r="A3" t="s">
        <v>10</v>
      </c>
      <c r="B3" t="s">
        <v>11</v>
      </c>
      <c r="C3" t="s">
        <v>20</v>
      </c>
      <c r="D3" t="s">
        <v>11</v>
      </c>
      <c r="E3" t="s">
        <v>73</v>
      </c>
      <c r="F3" t="s">
        <v>74</v>
      </c>
      <c r="G3">
        <v>3</v>
      </c>
    </row>
    <row r="4" spans="1:7" x14ac:dyDescent="0.25">
      <c r="A4" t="s">
        <v>10</v>
      </c>
      <c r="B4" t="s">
        <v>75</v>
      </c>
      <c r="C4" t="s">
        <v>15</v>
      </c>
      <c r="D4" t="s">
        <v>75</v>
      </c>
      <c r="E4" t="s">
        <v>73</v>
      </c>
      <c r="F4" t="s">
        <v>17</v>
      </c>
      <c r="G4">
        <v>2</v>
      </c>
    </row>
    <row r="5" spans="1:7" x14ac:dyDescent="0.25">
      <c r="A5" t="s">
        <v>10</v>
      </c>
      <c r="B5" t="s">
        <v>75</v>
      </c>
      <c r="C5" t="s">
        <v>20</v>
      </c>
      <c r="D5" t="s">
        <v>75</v>
      </c>
      <c r="E5" t="s">
        <v>73</v>
      </c>
      <c r="F5" t="s">
        <v>17</v>
      </c>
      <c r="G5">
        <v>2</v>
      </c>
    </row>
    <row r="6" spans="1:7" x14ac:dyDescent="0.25">
      <c r="A6" t="s">
        <v>10</v>
      </c>
      <c r="B6" t="s">
        <v>76</v>
      </c>
      <c r="C6" t="s">
        <v>15</v>
      </c>
      <c r="D6" t="s">
        <v>76</v>
      </c>
      <c r="E6" t="s">
        <v>73</v>
      </c>
      <c r="F6" t="s">
        <v>74</v>
      </c>
      <c r="G6">
        <v>3</v>
      </c>
    </row>
    <row r="7" spans="1:7" x14ac:dyDescent="0.25">
      <c r="A7" t="s">
        <v>10</v>
      </c>
      <c r="B7" t="s">
        <v>76</v>
      </c>
      <c r="C7" t="s">
        <v>20</v>
      </c>
      <c r="D7" t="s">
        <v>76</v>
      </c>
      <c r="E7" t="s">
        <v>73</v>
      </c>
      <c r="F7" t="s">
        <v>74</v>
      </c>
      <c r="G7">
        <v>3</v>
      </c>
    </row>
    <row r="8" spans="1:7" x14ac:dyDescent="0.25">
      <c r="A8" t="s">
        <v>10</v>
      </c>
      <c r="B8" t="s">
        <v>77</v>
      </c>
      <c r="C8" t="s">
        <v>15</v>
      </c>
      <c r="D8" t="s">
        <v>16</v>
      </c>
      <c r="E8" t="s">
        <v>78</v>
      </c>
      <c r="F8" t="s">
        <v>74</v>
      </c>
      <c r="G8">
        <v>3</v>
      </c>
    </row>
    <row r="9" spans="1:7" x14ac:dyDescent="0.25">
      <c r="A9" t="s">
        <v>15</v>
      </c>
      <c r="B9" t="s">
        <v>16</v>
      </c>
      <c r="C9" t="s">
        <v>20</v>
      </c>
      <c r="D9" t="s">
        <v>21</v>
      </c>
      <c r="E9" t="s">
        <v>79</v>
      </c>
      <c r="F9" t="s">
        <v>17</v>
      </c>
      <c r="G9">
        <v>2</v>
      </c>
    </row>
    <row r="10" spans="1:7" x14ac:dyDescent="0.25">
      <c r="A10" t="s">
        <v>15</v>
      </c>
      <c r="B10" t="s">
        <v>11</v>
      </c>
      <c r="C10" t="s">
        <v>20</v>
      </c>
      <c r="D10" t="s">
        <v>11</v>
      </c>
      <c r="E10" t="s">
        <v>79</v>
      </c>
      <c r="F10" t="s">
        <v>17</v>
      </c>
      <c r="G10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B18" sqref="B18"/>
    </sheetView>
  </sheetViews>
  <sheetFormatPr defaultRowHeight="15" x14ac:dyDescent="0.25"/>
  <cols>
    <col min="1" max="1" width="40" bestFit="1" customWidth="1"/>
    <col min="2" max="2" width="13.85546875" bestFit="1" customWidth="1"/>
    <col min="3" max="3" width="16.28515625" bestFit="1" customWidth="1"/>
    <col min="4" max="4" width="71.28515625" bestFit="1" customWidth="1"/>
    <col min="5" max="5" width="81.42578125" bestFit="1" customWidth="1"/>
    <col min="6" max="6" width="9.85546875" bestFit="1" customWidth="1"/>
    <col min="7" max="7" width="8.7109375" bestFit="1" customWidth="1"/>
  </cols>
  <sheetData>
    <row r="1" spans="1:7" x14ac:dyDescent="0.25">
      <c r="A1" t="s">
        <v>1</v>
      </c>
      <c r="B1" t="s">
        <v>36</v>
      </c>
      <c r="C1" t="s">
        <v>4</v>
      </c>
      <c r="D1" t="s">
        <v>47</v>
      </c>
      <c r="E1" t="s">
        <v>48</v>
      </c>
      <c r="F1" t="s">
        <v>49</v>
      </c>
      <c r="G1" t="s">
        <v>8</v>
      </c>
    </row>
    <row r="2" spans="1:7" x14ac:dyDescent="0.25">
      <c r="A2" t="s">
        <v>14</v>
      </c>
      <c r="B2" t="s">
        <v>38</v>
      </c>
      <c r="C2">
        <v>2</v>
      </c>
      <c r="D2" t="s">
        <v>50</v>
      </c>
      <c r="E2" t="s">
        <v>51</v>
      </c>
      <c r="F2" t="s">
        <v>17</v>
      </c>
      <c r="G2" t="s">
        <v>52</v>
      </c>
    </row>
    <row r="3" spans="1:7" x14ac:dyDescent="0.25">
      <c r="A3" t="s">
        <v>19</v>
      </c>
      <c r="B3" t="s">
        <v>38</v>
      </c>
      <c r="C3">
        <v>2</v>
      </c>
      <c r="D3" t="s">
        <v>53</v>
      </c>
      <c r="E3" t="s">
        <v>54</v>
      </c>
      <c r="F3" t="s">
        <v>17</v>
      </c>
      <c r="G3" t="s">
        <v>52</v>
      </c>
    </row>
    <row r="4" spans="1:7" x14ac:dyDescent="0.25">
      <c r="A4" t="s">
        <v>23</v>
      </c>
      <c r="B4" t="s">
        <v>37</v>
      </c>
      <c r="C4">
        <v>2</v>
      </c>
      <c r="D4" t="s">
        <v>55</v>
      </c>
      <c r="E4" t="s">
        <v>56</v>
      </c>
      <c r="F4" t="s">
        <v>17</v>
      </c>
      <c r="G4" t="s">
        <v>52</v>
      </c>
    </row>
    <row r="5" spans="1:7" x14ac:dyDescent="0.25">
      <c r="A5" t="s">
        <v>24</v>
      </c>
      <c r="B5" t="s">
        <v>37</v>
      </c>
      <c r="C5">
        <v>2</v>
      </c>
      <c r="D5" t="s">
        <v>57</v>
      </c>
      <c r="E5" t="s">
        <v>58</v>
      </c>
      <c r="F5" t="s">
        <v>17</v>
      </c>
      <c r="G5" t="s">
        <v>52</v>
      </c>
    </row>
    <row r="6" spans="1:7" x14ac:dyDescent="0.25">
      <c r="A6" t="s">
        <v>25</v>
      </c>
      <c r="B6" t="s">
        <v>37</v>
      </c>
      <c r="C6">
        <v>2</v>
      </c>
      <c r="D6" t="s">
        <v>59</v>
      </c>
      <c r="E6" t="s">
        <v>60</v>
      </c>
      <c r="F6" t="s">
        <v>17</v>
      </c>
      <c r="G6" t="s">
        <v>52</v>
      </c>
    </row>
    <row r="7" spans="1:7" x14ac:dyDescent="0.25">
      <c r="A7" t="s">
        <v>27</v>
      </c>
      <c r="B7" t="s">
        <v>39</v>
      </c>
      <c r="C7">
        <v>2</v>
      </c>
      <c r="D7" t="s">
        <v>61</v>
      </c>
      <c r="E7" t="s">
        <v>62</v>
      </c>
      <c r="F7" t="s">
        <v>17</v>
      </c>
      <c r="G7" t="s">
        <v>52</v>
      </c>
    </row>
    <row r="8" spans="1:7" x14ac:dyDescent="0.25">
      <c r="A8" t="s">
        <v>28</v>
      </c>
      <c r="B8" t="s">
        <v>39</v>
      </c>
      <c r="C8">
        <v>2</v>
      </c>
      <c r="D8" t="s">
        <v>63</v>
      </c>
      <c r="E8" t="s">
        <v>64</v>
      </c>
      <c r="F8" t="s">
        <v>17</v>
      </c>
      <c r="G8" t="s">
        <v>52</v>
      </c>
    </row>
    <row r="9" spans="1:7" x14ac:dyDescent="0.25">
      <c r="A9" t="s">
        <v>29</v>
      </c>
      <c r="B9" t="s">
        <v>37</v>
      </c>
      <c r="C9">
        <v>1</v>
      </c>
      <c r="D9" t="s">
        <v>65</v>
      </c>
      <c r="E9" t="s">
        <v>66</v>
      </c>
      <c r="F9" t="s">
        <v>17</v>
      </c>
      <c r="G9" t="s">
        <v>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P15" sqref="P15"/>
    </sheetView>
  </sheetViews>
  <sheetFormatPr defaultRowHeight="15" x14ac:dyDescent="0.25"/>
  <cols>
    <col min="1" max="1" width="15.42578125" customWidth="1"/>
    <col min="2" max="2" width="16" customWidth="1"/>
    <col min="3" max="3" width="27.140625" customWidth="1"/>
  </cols>
  <sheetData>
    <row r="1" spans="1:3" x14ac:dyDescent="0.25">
      <c r="A1" t="s">
        <v>1</v>
      </c>
      <c r="B1" t="s">
        <v>4</v>
      </c>
      <c r="C1" t="s">
        <v>110</v>
      </c>
    </row>
    <row r="2" spans="1:3" x14ac:dyDescent="0.25">
      <c r="A2" t="s">
        <v>19</v>
      </c>
      <c r="B2">
        <v>2</v>
      </c>
      <c r="C2" s="1">
        <v>0.1333</v>
      </c>
    </row>
    <row r="3" spans="1:3" x14ac:dyDescent="0.25">
      <c r="A3" t="s">
        <v>28</v>
      </c>
      <c r="B3">
        <v>2</v>
      </c>
      <c r="C3" s="1">
        <v>0.26669999999999999</v>
      </c>
    </row>
    <row r="4" spans="1:3" x14ac:dyDescent="0.25">
      <c r="A4" t="s">
        <v>24</v>
      </c>
      <c r="B4">
        <v>2</v>
      </c>
      <c r="C4" s="1">
        <v>0.4</v>
      </c>
    </row>
    <row r="5" spans="1:3" x14ac:dyDescent="0.25">
      <c r="A5" t="s">
        <v>25</v>
      </c>
      <c r="B5">
        <v>2</v>
      </c>
      <c r="C5" s="1">
        <v>0.5333</v>
      </c>
    </row>
    <row r="6" spans="1:3" x14ac:dyDescent="0.25">
      <c r="A6" t="s">
        <v>23</v>
      </c>
      <c r="B6">
        <v>2</v>
      </c>
      <c r="C6" s="1">
        <v>0.66669999999999996</v>
      </c>
    </row>
    <row r="7" spans="1:3" x14ac:dyDescent="0.25">
      <c r="A7" t="s">
        <v>14</v>
      </c>
      <c r="B7">
        <v>2</v>
      </c>
      <c r="C7" s="1">
        <v>0.8</v>
      </c>
    </row>
    <row r="8" spans="1:3" x14ac:dyDescent="0.25">
      <c r="A8" t="s">
        <v>27</v>
      </c>
      <c r="B8">
        <v>2</v>
      </c>
      <c r="C8" s="1">
        <v>0.93330000000000002</v>
      </c>
    </row>
    <row r="9" spans="1:3" x14ac:dyDescent="0.25">
      <c r="A9" t="s">
        <v>29</v>
      </c>
      <c r="B9">
        <v>1</v>
      </c>
      <c r="C9" s="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O17" sqref="O17"/>
    </sheetView>
  </sheetViews>
  <sheetFormatPr defaultRowHeight="15" x14ac:dyDescent="0.25"/>
  <cols>
    <col min="1" max="1" width="14.42578125" style="6" customWidth="1"/>
    <col min="2" max="2" width="15.85546875" style="6" customWidth="1"/>
    <col min="3" max="3" width="10" style="6" customWidth="1"/>
    <col min="4" max="4" width="10.7109375" style="6" customWidth="1"/>
    <col min="5" max="5" width="12.85546875" style="6" customWidth="1"/>
    <col min="6" max="6" width="15" style="6" customWidth="1"/>
    <col min="7" max="7" width="9.140625" style="6"/>
    <col min="8" max="8" width="12.5703125" style="6" customWidth="1"/>
    <col min="9" max="16384" width="9.140625" style="6"/>
  </cols>
  <sheetData>
    <row r="1" spans="1:14" x14ac:dyDescent="0.25">
      <c r="A1" s="5" t="s">
        <v>40</v>
      </c>
      <c r="B1" s="5" t="s">
        <v>38</v>
      </c>
      <c r="C1" s="5" t="s">
        <v>37</v>
      </c>
      <c r="D1" s="6" t="s">
        <v>39</v>
      </c>
    </row>
    <row r="2" spans="1:14" x14ac:dyDescent="0.25">
      <c r="A2" s="5" t="s">
        <v>20</v>
      </c>
      <c r="B2" s="5">
        <v>2</v>
      </c>
      <c r="C2" s="5">
        <v>4</v>
      </c>
      <c r="D2" s="6">
        <v>2</v>
      </c>
    </row>
    <row r="3" spans="1:14" x14ac:dyDescent="0.25">
      <c r="A3" s="5" t="s">
        <v>15</v>
      </c>
      <c r="B3" s="5">
        <v>2</v>
      </c>
      <c r="C3" s="5">
        <v>2</v>
      </c>
      <c r="D3" s="6">
        <v>2</v>
      </c>
    </row>
    <row r="4" spans="1:14" x14ac:dyDescent="0.25">
      <c r="A4" s="5" t="s">
        <v>10</v>
      </c>
      <c r="B4" s="5">
        <v>0</v>
      </c>
      <c r="C4" s="5">
        <v>1</v>
      </c>
      <c r="D4" s="6">
        <v>0</v>
      </c>
    </row>
    <row r="5" spans="1:14" x14ac:dyDescent="0.25">
      <c r="A5" s="5"/>
      <c r="B5" s="5"/>
      <c r="C5" s="5"/>
    </row>
    <row r="6" spans="1:14" x14ac:dyDescent="0.25">
      <c r="A6" s="5"/>
      <c r="B6" s="5"/>
      <c r="C6" s="5"/>
      <c r="H6" s="7" t="s">
        <v>113</v>
      </c>
      <c r="I6" s="7"/>
      <c r="J6" s="7"/>
      <c r="K6" s="7"/>
      <c r="L6" s="7"/>
      <c r="M6" s="7"/>
      <c r="N6" s="7"/>
    </row>
    <row r="7" spans="1:14" x14ac:dyDescent="0.25">
      <c r="A7" s="5"/>
      <c r="B7" s="5"/>
      <c r="C7" s="5"/>
      <c r="H7" s="7" t="s">
        <v>111</v>
      </c>
      <c r="I7" s="7"/>
      <c r="J7" s="7"/>
      <c r="K7" s="7"/>
      <c r="L7" s="7"/>
      <c r="M7" s="7"/>
      <c r="N7" s="7"/>
    </row>
    <row r="8" spans="1:14" x14ac:dyDescent="0.25">
      <c r="H8" s="7" t="s">
        <v>112</v>
      </c>
      <c r="I8" s="7"/>
      <c r="J8" s="7"/>
      <c r="K8" s="7"/>
      <c r="L8" s="7"/>
      <c r="M8" s="7"/>
      <c r="N8" s="7"/>
    </row>
  </sheetData>
  <mergeCells count="3">
    <mergeCell ref="H6:N6"/>
    <mergeCell ref="H7:N7"/>
    <mergeCell ref="H8:N8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SQL Guide</vt:lpstr>
      <vt:lpstr>Dashboard</vt:lpstr>
      <vt:lpstr>Control Summary</vt:lpstr>
      <vt:lpstr>Lineage Impact</vt:lpstr>
      <vt:lpstr>RCA Detail</vt:lpstr>
      <vt:lpstr>Pareto Analysis</vt:lpstr>
      <vt:lpstr>Quality 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2026-09-20T09:19:51Z</dcterms:created>
  <dcterms:modified xsi:type="dcterms:W3CDTF">2026-09-20T10:45:17Z</dcterms:modified>
</cp:coreProperties>
</file>